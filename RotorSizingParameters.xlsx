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e\GitHub\RIT_RacingBrakesAnalysis\"/>
    </mc:Choice>
  </mc:AlternateContent>
  <xr:revisionPtr revIDLastSave="0" documentId="13_ncr:1_{EC4F8AD9-1DBA-4D0B-AE64-D2235018AE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rameters" sheetId="1" r:id="rId1"/>
    <sheet name="Legend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1" l="1"/>
  <c r="B18" i="1"/>
  <c r="B17" i="1"/>
  <c r="B16" i="1"/>
  <c r="B15" i="1"/>
  <c r="B14" i="1"/>
  <c r="B13" i="1"/>
  <c r="B11" i="1"/>
  <c r="B10" i="1"/>
  <c r="B6" i="1"/>
  <c r="B5" i="1"/>
  <c r="B4" i="1"/>
  <c r="B3" i="1"/>
</calcChain>
</file>

<file path=xl/sharedStrings.xml><?xml version="1.0" encoding="utf-8"?>
<sst xmlns="http://schemas.openxmlformats.org/spreadsheetml/2006/main" count="176" uniqueCount="131">
  <si>
    <t>Name</t>
  </si>
  <si>
    <t>Value</t>
  </si>
  <si>
    <t>Unit</t>
  </si>
  <si>
    <t>Notes</t>
  </si>
  <si>
    <t>VehicleMass</t>
  </si>
  <si>
    <t>kg</t>
  </si>
  <si>
    <t>As-driven whole-vehicle mass. Source: VehicleParameters.xlsx.</t>
  </si>
  <si>
    <t>I_corner</t>
  </si>
  <si>
    <t>kg*m^2</t>
  </si>
  <si>
    <t>Rotational inertia of ONE corner. Source: VehicleParameters.xlsx.</t>
  </si>
  <si>
    <t>WheelR</t>
  </si>
  <si>
    <t>m</t>
  </si>
  <si>
    <t>Loaded rolling radius. NOTE: MotorTorque.csv is internally consistent with 0.2032 m (8.00 in), a 4.6% mismatch. Not used in the energy chain; diagnostic only.</t>
  </si>
  <si>
    <t>gear_ratio</t>
  </si>
  <si>
    <t>-</t>
  </si>
  <si>
    <t>Motor-to-wheel gear ratio. Source: VehicleParameters.xlsx.</t>
  </si>
  <si>
    <t>rho_rotor</t>
  </si>
  <si>
    <t>kg/m^3</t>
  </si>
  <si>
    <t>Rotor density (4130 steel value used in BrakeCoeffOptimizer.m).</t>
  </si>
  <si>
    <t>velx_threshold</t>
  </si>
  <si>
    <t>m/s</t>
  </si>
  <si>
    <t>Speed-cleaning threshold (readings above this are zeroed), as in the original.</t>
  </si>
  <si>
    <t>BrakeFrac</t>
  </si>
  <si>
    <t>Mechanical brake fraction. Source: VehicleParameters.xlsx.</t>
  </si>
  <si>
    <t>CalibrationFactor</t>
  </si>
  <si>
    <t>Empirical thermal derating. Source: VehicleParameters.xlsx.</t>
  </si>
  <si>
    <t>aero_open_a</t>
  </si>
  <si>
    <t>N/mph^2</t>
  </si>
  <si>
    <t>DRS open. Source: VehicleParameters.xlsx.</t>
  </si>
  <si>
    <t>aero_open_b</t>
  </si>
  <si>
    <t>N/mph</t>
  </si>
  <si>
    <t>DRS open.</t>
  </si>
  <si>
    <t>aero_open_c</t>
  </si>
  <si>
    <t>N</t>
  </si>
  <si>
    <t>DRS open. F is clamped at &gt;= 0 as in the original.</t>
  </si>
  <si>
    <t>aero_closed_a</t>
  </si>
  <si>
    <t>DRS closed. Source: VehicleParameters.xlsx.</t>
  </si>
  <si>
    <t>aero_closed_b</t>
  </si>
  <si>
    <t>DRS closed.</t>
  </si>
  <si>
    <t>aero_closed_c</t>
  </si>
  <si>
    <t>drs_state</t>
  </si>
  <si>
    <t>0/1</t>
  </si>
  <si>
    <t>CONFIRM. 0 = closed (assumed), 1 = open. MotorTorque.csv carries no DRS channel, so this is held constant for the whole run.</t>
  </si>
  <si>
    <t>hw_x1_front</t>
  </si>
  <si>
    <t>W/m^2K per m/s</t>
  </si>
  <si>
    <t>hw_b1_front</t>
  </si>
  <si>
    <t>W/m^2K</t>
  </si>
  <si>
    <t>hw_x1_rear</t>
  </si>
  <si>
    <t>hw_b1_rear</t>
  </si>
  <si>
    <t>padfrac_x2</t>
  </si>
  <si>
    <t>1/K</t>
  </si>
  <si>
    <t>padfrac_b2</t>
  </si>
  <si>
    <t>Tbias_front</t>
  </si>
  <si>
    <t>PLACEHOLDER - MUST SUPPLY. Constant front fraction of braking torque; rear uses 1-Tbias_front. Drives the front/rear heat split directly.</t>
  </si>
  <si>
    <t>regen_front_frac_a</t>
  </si>
  <si>
    <t>PLACEHOLDER - MUST SUPPLY. Front share of total vehicle regen power: ff = a + b*v_mps, clamped to [0,1].</t>
  </si>
  <si>
    <t>regen_front_frac_b</t>
  </si>
  <si>
    <t>1/(m/s)</t>
  </si>
  <si>
    <t>PLACEHOLDER - MUST SUPPLY. Speed slope of the regen front share. 0 = speed-independent split.</t>
  </si>
  <si>
    <t>min_pedal_force_N</t>
  </si>
  <si>
    <t>Threshold on friction_brake_force_N for "brakes applied", playing the role of min_pressure. Pedal force is 0 or &gt;= 6.77 N in this file, so any value in [0, 6.7) is equivalent.</t>
  </si>
  <si>
    <t>T_target_F</t>
  </si>
  <si>
    <t>degF</t>
  </si>
  <si>
    <t>PLACEHOLDER - MUST SUPPLY. Peak rotor temperature not to be exceeded over the whole run. UNIT IS degF.</t>
  </si>
  <si>
    <t>TambC</t>
  </si>
  <si>
    <t>degC</t>
  </si>
  <si>
    <t>Ambient. Source: VehicleParameters.xlsx TambC_fallback (= 77.0 degF).</t>
  </si>
  <si>
    <t>T_init_F</t>
  </si>
  <si>
    <t>Initial rotor temperature. Set equal to ambient per the "starting from ambient" requirement.</t>
  </si>
  <si>
    <t>Do_front_mm</t>
  </si>
  <si>
    <t>mm</t>
  </si>
  <si>
    <t>Fixed outer diameter. Supplied by user.</t>
  </si>
  <si>
    <t>Di_front_mm</t>
  </si>
  <si>
    <t>Fixed inner diameter. Supplied by user. Radial width = 19.05 mm.</t>
  </si>
  <si>
    <t>t_min_front_mm</t>
  </si>
  <si>
    <t>Supplied by user.</t>
  </si>
  <si>
    <t>t_max_front_mm</t>
  </si>
  <si>
    <t>s_min_front_mm</t>
  </si>
  <si>
    <t>Minimum feature size: min hole diameter (circular) or min slot width (vents). Supplied by user.</t>
  </si>
  <si>
    <t>phi_max_front</t>
  </si>
  <si>
    <t>Max removed face-area fraction. Supplied by user.</t>
  </si>
  <si>
    <t>cut_type_front</t>
  </si>
  <si>
    <t>1/2</t>
  </si>
  <si>
    <t>1 = drilled circular holes (L_max = 4*Ar/s_min); 2 = long slots (L_max = 2*Ar/s_min).</t>
  </si>
  <si>
    <t>Do_rear_mm</t>
  </si>
  <si>
    <t>Di_rear_mm</t>
  </si>
  <si>
    <t>Fixed inner diameter. Supplied by user. Radial width = 22.86 mm.</t>
  </si>
  <si>
    <t>t_min_rear_mm</t>
  </si>
  <si>
    <t>t_max_rear_mm</t>
  </si>
  <si>
    <t>s_min_rear_mm</t>
  </si>
  <si>
    <t>phi_max_rear</t>
  </si>
  <si>
    <t>cut_type_rear</t>
  </si>
  <si>
    <t>1 = drilled circular holes; 2 = long slots.</t>
  </si>
  <si>
    <t>include_edge_area</t>
  </si>
  <si>
    <t>1 = RotorArea includes the inner and outer cylindrical edges, pi*(Do+Di)*t, per the stated convention. 0 = faces + cut walls only.</t>
  </si>
  <si>
    <t>edge_margin_mm</t>
  </si>
  <si>
    <t>Radial material margin a cut pattern must leave at BOTH the OD and the ID. Used to bound the largest buildable feature; defaults to s_min.</t>
  </si>
  <si>
    <t>enforce_pattern_packing</t>
  </si>
  <si>
    <t>1 = cap phi_max at the largest removed-area fraction a real single-row cut pattern can deliver (front is packing-limited to 0.483 vs the 0.500 spec). 0 = use phi_max as specified.</t>
  </si>
  <si>
    <t>use_dt_s_column</t>
  </si>
  <si>
    <t>1 = build the time base from the dt_s column (REQUIRED for this file: the time column saturates at 3 significant figures above 1000 s, so diff(time) is 0 for 9,949 of the last 9,980 rows). 0 = use diff(time).</t>
  </si>
  <si>
    <t>exclude_lap_artifacts</t>
  </si>
  <si>
    <t>1 = force the passive-cooling branch on the two artifact rows at each lap start. Redundant with the DS &lt; -2.5 rule on this file; kept as an explicit guard.</t>
  </si>
  <si>
    <t>n_mass_grid</t>
  </si>
  <si>
    <t>count</t>
  </si>
  <si>
    <t>Number of masses spanning the achievable envelope for the frontier and trade-off table.</t>
  </si>
  <si>
    <t>A_bracket_lo</t>
  </si>
  <si>
    <t>m^2</t>
  </si>
  <si>
    <t>Lower bracket for the area root-find.</t>
  </si>
  <si>
    <t>A_bracket_hi</t>
  </si>
  <si>
    <t>Upper bracket for the area root-find.</t>
  </si>
  <si>
    <t>area_bisect_iters</t>
  </si>
  <si>
    <t>Geometric bisection iterations on area. 40 reaches machine precision on this bracket; 80 is wasteful.</t>
  </si>
  <si>
    <t>euler_warn_threshold</t>
  </si>
  <si>
    <t>Warn if max(dt*h_w*A/(m*cp)) exceeds this (explicit-Euler stability margin).</t>
  </si>
  <si>
    <t>RotorSizingParameters.xlsx - how to use</t>
  </si>
  <si>
    <t>The script reads the Parameters sheet BY NAME (column Name), not by row position.</t>
  </si>
  <si>
    <t>You may reorder or add rows freely. Do not rename a Name cell that the script uses.</t>
  </si>
  <si>
    <t>Rows whose Name cell is blank, and the grey SECTION banner rows, are ignored.</t>
  </si>
  <si>
    <t>AMBER rows  = REQUIRED, currently a PLACEHOLDER. Replace before trusting any number.</t>
  </si>
  <si>
    <t>GREEN rows  = an assumption you should CONFIRM.</t>
  </si>
  <si>
    <t>White rows  = verified against VehicleParameters.xlsx or supplied directly by you.</t>
  </si>
  <si>
    <t>Example of the expected format for one row:</t>
  </si>
  <si>
    <t>0.62</t>
  </si>
  <si>
    <t>Front fraction of braking torque, measured on the 2025 car.</t>
  </si>
  <si>
    <t>Values you must still supply (the four amber rows):</t>
  </si>
  <si>
    <t xml:space="preserve">  Tbias_front            - front brake-torque bias</t>
  </si>
  <si>
    <t xml:space="preserve">  regen_front_frac_a/_b  - front share of vehicle regen power vs speed</t>
  </si>
  <si>
    <t xml:space="preserve">  T_target_F             - peak rotor temperature limit, in degF</t>
  </si>
  <si>
    <t xml:space="preserve">h_w = x1*v + b1. </t>
  </si>
  <si>
    <t xml:space="preserve">PadFrac(T_K) = x2*T_K + b2, clamped to [0,1].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</si>
</sst>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D9D9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2" fillId="3" borderId="0" xfId="0" applyFont="1" applyFill="1"/>
    <xf numFmtId="0" fontId="2" fillId="3" borderId="0" xfId="0" applyFont="1" applyFill="1" applyAlignment="1">
      <alignment vertical="top" wrapText="1"/>
    </xf>
    <xf numFmtId="0" fontId="3" fillId="0" borderId="0" xfId="0" applyFont="1"/>
    <xf numFmtId="0" fontId="3" fillId="0" borderId="0" xfId="0" applyFont="1" applyAlignment="1">
      <alignment vertical="top" wrapText="1"/>
    </xf>
    <xf numFmtId="0" fontId="3" fillId="4" borderId="0" xfId="0" applyFont="1" applyFill="1"/>
    <xf numFmtId="0" fontId="3" fillId="4" borderId="0" xfId="0" applyFont="1" applyFill="1" applyAlignment="1">
      <alignment vertical="top" wrapText="1"/>
    </xf>
    <xf numFmtId="0" fontId="3" fillId="5" borderId="0" xfId="0" applyFont="1" applyFill="1"/>
    <xf numFmtId="0" fontId="3" fillId="5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4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ive\GitHub\RIT_RacingBrakesAnalysis\VehicleParameters.xlsx" TargetMode="External"/><Relationship Id="rId1" Type="http://schemas.openxmlformats.org/officeDocument/2006/relationships/externalLinkPath" Target="VehicleParamet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ameters"/>
      <sheetName val="MuTable"/>
    </sheetNames>
    <sheetDataSet>
      <sheetData sheetId="0">
        <row r="2">
          <cell r="B2">
            <v>259</v>
          </cell>
        </row>
        <row r="3">
          <cell r="B3">
            <v>0.11</v>
          </cell>
        </row>
        <row r="4">
          <cell r="B4">
            <v>0.21299999999999999</v>
          </cell>
        </row>
        <row r="5">
          <cell r="B5">
            <v>12.97</v>
          </cell>
        </row>
        <row r="24">
          <cell r="B24">
            <v>0.82</v>
          </cell>
        </row>
        <row r="25">
          <cell r="B25">
            <v>0.8</v>
          </cell>
        </row>
        <row r="26">
          <cell r="B26">
            <v>7.9302399999999995E-2</v>
          </cell>
        </row>
        <row r="27">
          <cell r="B27">
            <v>1.4648300000000001</v>
          </cell>
        </row>
        <row r="28">
          <cell r="B28">
            <v>-37.239930000000001</v>
          </cell>
        </row>
        <row r="29">
          <cell r="B29">
            <v>0.13624700000000001</v>
          </cell>
        </row>
        <row r="30">
          <cell r="B30">
            <v>2.5344899999999999</v>
          </cell>
        </row>
        <row r="31">
          <cell r="B31">
            <v>-67.449749999999995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24" customWidth="1"/>
    <col min="2" max="2" width="14" customWidth="1"/>
    <col min="3" max="3" width="16" customWidth="1"/>
    <col min="4" max="4" width="11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 s="3"/>
      <c r="B2" s="3"/>
      <c r="C2" s="3"/>
      <c r="D2" s="4"/>
    </row>
    <row r="3" spans="1:4" x14ac:dyDescent="0.25">
      <c r="A3" s="5" t="s">
        <v>4</v>
      </c>
      <c r="B3" s="5">
        <f>[1]Parameters!$B$2</f>
        <v>259</v>
      </c>
      <c r="C3" s="5" t="s">
        <v>5</v>
      </c>
      <c r="D3" s="6" t="s">
        <v>6</v>
      </c>
    </row>
    <row r="4" spans="1:4" x14ac:dyDescent="0.25">
      <c r="A4" s="5" t="s">
        <v>7</v>
      </c>
      <c r="B4" s="5">
        <f>[1]Parameters!$B$3</f>
        <v>0.11</v>
      </c>
      <c r="C4" s="5" t="s">
        <v>8</v>
      </c>
      <c r="D4" s="6" t="s">
        <v>9</v>
      </c>
    </row>
    <row r="5" spans="1:4" ht="28.5" x14ac:dyDescent="0.25">
      <c r="A5" s="5" t="s">
        <v>10</v>
      </c>
      <c r="B5" s="5">
        <f>[1]Parameters!$B$4</f>
        <v>0.21299999999999999</v>
      </c>
      <c r="C5" s="5" t="s">
        <v>11</v>
      </c>
      <c r="D5" s="6" t="s">
        <v>12</v>
      </c>
    </row>
    <row r="6" spans="1:4" x14ac:dyDescent="0.25">
      <c r="A6" s="5" t="s">
        <v>13</v>
      </c>
      <c r="B6" s="5">
        <f>[1]Parameters!$B$5</f>
        <v>12.97</v>
      </c>
      <c r="C6" s="5" t="s">
        <v>14</v>
      </c>
      <c r="D6" s="6" t="s">
        <v>15</v>
      </c>
    </row>
    <row r="7" spans="1:4" x14ac:dyDescent="0.25">
      <c r="A7" s="5" t="s">
        <v>16</v>
      </c>
      <c r="B7" s="5">
        <v>7850</v>
      </c>
      <c r="C7" s="5" t="s">
        <v>17</v>
      </c>
      <c r="D7" s="6" t="s">
        <v>18</v>
      </c>
    </row>
    <row r="8" spans="1:4" x14ac:dyDescent="0.25">
      <c r="A8" s="5" t="s">
        <v>19</v>
      </c>
      <c r="B8" s="5">
        <v>34</v>
      </c>
      <c r="C8" s="5" t="s">
        <v>20</v>
      </c>
      <c r="D8" s="6" t="s">
        <v>21</v>
      </c>
    </row>
    <row r="9" spans="1:4" x14ac:dyDescent="0.25">
      <c r="A9" s="3"/>
      <c r="B9" s="3"/>
      <c r="C9" s="3"/>
      <c r="D9" s="4"/>
    </row>
    <row r="10" spans="1:4" x14ac:dyDescent="0.25">
      <c r="A10" s="5" t="s">
        <v>22</v>
      </c>
      <c r="B10" s="5">
        <f>[1]Parameters!$B$24</f>
        <v>0.82</v>
      </c>
      <c r="C10" s="5" t="s">
        <v>14</v>
      </c>
      <c r="D10" s="6" t="s">
        <v>23</v>
      </c>
    </row>
    <row r="11" spans="1:4" x14ac:dyDescent="0.25">
      <c r="A11" s="5" t="s">
        <v>24</v>
      </c>
      <c r="B11" s="5">
        <f>[1]Parameters!$B$25</f>
        <v>0.8</v>
      </c>
      <c r="C11" s="5" t="s">
        <v>14</v>
      </c>
      <c r="D11" s="6" t="s">
        <v>25</v>
      </c>
    </row>
    <row r="12" spans="1:4" x14ac:dyDescent="0.25">
      <c r="A12" s="3"/>
      <c r="B12" s="3"/>
      <c r="C12" s="3"/>
      <c r="D12" s="4"/>
    </row>
    <row r="13" spans="1:4" x14ac:dyDescent="0.25">
      <c r="A13" s="5" t="s">
        <v>26</v>
      </c>
      <c r="B13" s="5">
        <f>[1]Parameters!$B$26</f>
        <v>7.9302399999999995E-2</v>
      </c>
      <c r="C13" s="5" t="s">
        <v>27</v>
      </c>
      <c r="D13" s="6" t="s">
        <v>28</v>
      </c>
    </row>
    <row r="14" spans="1:4" x14ac:dyDescent="0.25">
      <c r="A14" s="5" t="s">
        <v>29</v>
      </c>
      <c r="B14" s="5">
        <f>[1]Parameters!$B$27</f>
        <v>1.4648300000000001</v>
      </c>
      <c r="C14" s="5" t="s">
        <v>30</v>
      </c>
      <c r="D14" s="6" t="s">
        <v>31</v>
      </c>
    </row>
    <row r="15" spans="1:4" x14ac:dyDescent="0.25">
      <c r="A15" s="5" t="s">
        <v>32</v>
      </c>
      <c r="B15" s="5">
        <f>[1]Parameters!$B$28</f>
        <v>-37.239930000000001</v>
      </c>
      <c r="C15" s="5" t="s">
        <v>33</v>
      </c>
      <c r="D15" s="6" t="s">
        <v>34</v>
      </c>
    </row>
    <row r="16" spans="1:4" x14ac:dyDescent="0.25">
      <c r="A16" s="5" t="s">
        <v>35</v>
      </c>
      <c r="B16" s="5">
        <f>[1]Parameters!$B$29</f>
        <v>0.13624700000000001</v>
      </c>
      <c r="C16" s="5" t="s">
        <v>27</v>
      </c>
      <c r="D16" s="6" t="s">
        <v>36</v>
      </c>
    </row>
    <row r="17" spans="1:4" x14ac:dyDescent="0.25">
      <c r="A17" s="5" t="s">
        <v>37</v>
      </c>
      <c r="B17" s="5">
        <f>[1]Parameters!$B$30</f>
        <v>2.5344899999999999</v>
      </c>
      <c r="C17" s="5" t="s">
        <v>30</v>
      </c>
      <c r="D17" s="6" t="s">
        <v>38</v>
      </c>
    </row>
    <row r="18" spans="1:4" x14ac:dyDescent="0.25">
      <c r="A18" s="5" t="s">
        <v>39</v>
      </c>
      <c r="B18" s="5">
        <f>[1]Parameters!$B$31</f>
        <v>-67.449749999999995</v>
      </c>
      <c r="C18" s="5" t="s">
        <v>33</v>
      </c>
      <c r="D18" s="6" t="s">
        <v>38</v>
      </c>
    </row>
    <row r="19" spans="1:4" ht="28.5" x14ac:dyDescent="0.25">
      <c r="A19" s="7" t="s">
        <v>40</v>
      </c>
      <c r="B19" s="7">
        <v>0</v>
      </c>
      <c r="C19" s="7" t="s">
        <v>41</v>
      </c>
      <c r="D19" s="8" t="s">
        <v>42</v>
      </c>
    </row>
    <row r="20" spans="1:4" x14ac:dyDescent="0.25">
      <c r="A20" s="3"/>
      <c r="B20" s="3"/>
      <c r="C20" s="3"/>
      <c r="D20" s="4"/>
    </row>
    <row r="21" spans="1:4" x14ac:dyDescent="0.25">
      <c r="A21" s="5" t="s">
        <v>43</v>
      </c>
      <c r="B21" s="5">
        <v>2.3669020000000001</v>
      </c>
      <c r="C21" s="5" t="s">
        <v>44</v>
      </c>
      <c r="D21" s="6" t="s">
        <v>129</v>
      </c>
    </row>
    <row r="22" spans="1:4" x14ac:dyDescent="0.25">
      <c r="A22" s="5" t="s">
        <v>45</v>
      </c>
      <c r="B22" s="5">
        <v>21.133071999999999</v>
      </c>
      <c r="C22" s="5" t="s">
        <v>46</v>
      </c>
      <c r="D22" s="6"/>
    </row>
    <row r="23" spans="1:4" x14ac:dyDescent="0.25">
      <c r="A23" s="5" t="s">
        <v>47</v>
      </c>
      <c r="B23" s="5">
        <v>3.6413859999999998</v>
      </c>
      <c r="C23" s="5" t="s">
        <v>44</v>
      </c>
      <c r="D23" s="6"/>
    </row>
    <row r="24" spans="1:4" x14ac:dyDescent="0.25">
      <c r="A24" s="5" t="s">
        <v>48</v>
      </c>
      <c r="B24" s="5">
        <v>29.359404999999999</v>
      </c>
      <c r="C24" s="5" t="s">
        <v>46</v>
      </c>
      <c r="D24" s="6"/>
    </row>
    <row r="25" spans="1:4" x14ac:dyDescent="0.25">
      <c r="A25" s="5" t="s">
        <v>49</v>
      </c>
      <c r="B25" s="5">
        <v>4.6090397E-4</v>
      </c>
      <c r="C25" s="5" t="s">
        <v>50</v>
      </c>
      <c r="D25" s="6" t="s">
        <v>130</v>
      </c>
    </row>
    <row r="26" spans="1:4" x14ac:dyDescent="0.25">
      <c r="A26" s="5" t="s">
        <v>51</v>
      </c>
      <c r="B26" s="5">
        <v>0.13389237000000001</v>
      </c>
      <c r="C26" s="5" t="s">
        <v>14</v>
      </c>
      <c r="D26" s="6"/>
    </row>
    <row r="27" spans="1:4" x14ac:dyDescent="0.25">
      <c r="A27" s="3"/>
      <c r="B27" s="3"/>
      <c r="C27" s="3"/>
      <c r="D27" s="4"/>
    </row>
    <row r="28" spans="1:4" ht="28.5" x14ac:dyDescent="0.25">
      <c r="A28" s="9" t="s">
        <v>52</v>
      </c>
      <c r="B28" s="9">
        <v>0.65</v>
      </c>
      <c r="C28" s="9" t="s">
        <v>14</v>
      </c>
      <c r="D28" s="10" t="s">
        <v>53</v>
      </c>
    </row>
    <row r="29" spans="1:4" x14ac:dyDescent="0.25">
      <c r="A29" s="9" t="s">
        <v>54</v>
      </c>
      <c r="B29" s="9">
        <v>0.5</v>
      </c>
      <c r="C29" s="9" t="s">
        <v>14</v>
      </c>
      <c r="D29" s="10" t="s">
        <v>55</v>
      </c>
    </row>
    <row r="30" spans="1:4" x14ac:dyDescent="0.25">
      <c r="A30" s="9" t="s">
        <v>56</v>
      </c>
      <c r="B30" s="9">
        <f>0.2/30</f>
        <v>6.6666666666666671E-3</v>
      </c>
      <c r="C30" s="9" t="s">
        <v>57</v>
      </c>
      <c r="D30" s="10" t="s">
        <v>58</v>
      </c>
    </row>
    <row r="31" spans="1:4" ht="28.5" x14ac:dyDescent="0.25">
      <c r="A31" s="5" t="s">
        <v>59</v>
      </c>
      <c r="B31" s="5">
        <v>0</v>
      </c>
      <c r="C31" s="5" t="s">
        <v>33</v>
      </c>
      <c r="D31" s="6" t="s">
        <v>60</v>
      </c>
    </row>
    <row r="32" spans="1:4" x14ac:dyDescent="0.25">
      <c r="A32" s="3"/>
      <c r="B32" s="3"/>
      <c r="C32" s="3"/>
      <c r="D32" s="4"/>
    </row>
    <row r="33" spans="1:4" x14ac:dyDescent="0.25">
      <c r="A33" s="9" t="s">
        <v>61</v>
      </c>
      <c r="B33" s="9">
        <v>800</v>
      </c>
      <c r="C33" s="9" t="s">
        <v>62</v>
      </c>
      <c r="D33" s="10" t="s">
        <v>63</v>
      </c>
    </row>
    <row r="34" spans="1:4" x14ac:dyDescent="0.25">
      <c r="A34" s="5" t="s">
        <v>64</v>
      </c>
      <c r="B34" s="5">
        <v>25</v>
      </c>
      <c r="C34" s="5" t="s">
        <v>65</v>
      </c>
      <c r="D34" s="6" t="s">
        <v>66</v>
      </c>
    </row>
    <row r="35" spans="1:4" x14ac:dyDescent="0.25">
      <c r="A35" s="5" t="s">
        <v>67</v>
      </c>
      <c r="B35" s="5">
        <v>77</v>
      </c>
      <c r="C35" s="5" t="s">
        <v>62</v>
      </c>
      <c r="D35" s="6" t="s">
        <v>68</v>
      </c>
    </row>
    <row r="36" spans="1:4" x14ac:dyDescent="0.25">
      <c r="A36" s="3"/>
      <c r="B36" s="3"/>
      <c r="C36" s="3"/>
      <c r="D36" s="4"/>
    </row>
    <row r="37" spans="1:4" x14ac:dyDescent="0.25">
      <c r="A37" s="5" t="s">
        <v>69</v>
      </c>
      <c r="B37" s="5">
        <v>204.47</v>
      </c>
      <c r="C37" s="5" t="s">
        <v>70</v>
      </c>
      <c r="D37" s="6" t="s">
        <v>71</v>
      </c>
    </row>
    <row r="38" spans="1:4" x14ac:dyDescent="0.25">
      <c r="A38" s="5" t="s">
        <v>72</v>
      </c>
      <c r="B38" s="5">
        <v>166.37</v>
      </c>
      <c r="C38" s="5" t="s">
        <v>70</v>
      </c>
      <c r="D38" s="6" t="s">
        <v>73</v>
      </c>
    </row>
    <row r="39" spans="1:4" x14ac:dyDescent="0.25">
      <c r="A39" s="5" t="s">
        <v>74</v>
      </c>
      <c r="B39" s="5">
        <v>2.54</v>
      </c>
      <c r="C39" s="5" t="s">
        <v>70</v>
      </c>
      <c r="D39" s="6" t="s">
        <v>75</v>
      </c>
    </row>
    <row r="40" spans="1:4" x14ac:dyDescent="0.25">
      <c r="A40" s="5" t="s">
        <v>76</v>
      </c>
      <c r="B40" s="5">
        <v>5.08</v>
      </c>
      <c r="C40" s="5" t="s">
        <v>70</v>
      </c>
      <c r="D40" s="6" t="s">
        <v>75</v>
      </c>
    </row>
    <row r="41" spans="1:4" x14ac:dyDescent="0.25">
      <c r="A41" s="5" t="s">
        <v>77</v>
      </c>
      <c r="B41" s="5">
        <v>2.54</v>
      </c>
      <c r="C41" s="5" t="s">
        <v>70</v>
      </c>
      <c r="D41" s="6" t="s">
        <v>78</v>
      </c>
    </row>
    <row r="42" spans="1:4" x14ac:dyDescent="0.25">
      <c r="A42" s="5" t="s">
        <v>79</v>
      </c>
      <c r="B42" s="5">
        <v>0.5</v>
      </c>
      <c r="C42" s="5" t="s">
        <v>14</v>
      </c>
      <c r="D42" s="6" t="s">
        <v>80</v>
      </c>
    </row>
    <row r="43" spans="1:4" x14ac:dyDescent="0.25">
      <c r="A43" s="5" t="s">
        <v>81</v>
      </c>
      <c r="B43" s="5">
        <v>1</v>
      </c>
      <c r="C43" s="5" t="s">
        <v>82</v>
      </c>
      <c r="D43" s="6" t="s">
        <v>83</v>
      </c>
    </row>
    <row r="44" spans="1:4" x14ac:dyDescent="0.25">
      <c r="A44" s="3"/>
      <c r="B44" s="3"/>
      <c r="C44" s="3"/>
      <c r="D44" s="4"/>
    </row>
    <row r="45" spans="1:4" x14ac:dyDescent="0.25">
      <c r="A45" s="5" t="s">
        <v>84</v>
      </c>
      <c r="B45" s="5">
        <v>195.58</v>
      </c>
      <c r="C45" s="5" t="s">
        <v>70</v>
      </c>
      <c r="D45" s="6" t="s">
        <v>71</v>
      </c>
    </row>
    <row r="46" spans="1:4" x14ac:dyDescent="0.25">
      <c r="A46" s="5" t="s">
        <v>85</v>
      </c>
      <c r="B46" s="5">
        <v>149.86000000000001</v>
      </c>
      <c r="C46" s="5" t="s">
        <v>70</v>
      </c>
      <c r="D46" s="6" t="s">
        <v>86</v>
      </c>
    </row>
    <row r="47" spans="1:4" x14ac:dyDescent="0.25">
      <c r="A47" s="5" t="s">
        <v>87</v>
      </c>
      <c r="B47" s="5">
        <v>2.54</v>
      </c>
      <c r="C47" s="5" t="s">
        <v>70</v>
      </c>
      <c r="D47" s="6" t="s">
        <v>75</v>
      </c>
    </row>
    <row r="48" spans="1:4" x14ac:dyDescent="0.25">
      <c r="A48" s="5" t="s">
        <v>88</v>
      </c>
      <c r="B48" s="5">
        <v>5.08</v>
      </c>
      <c r="C48" s="5" t="s">
        <v>70</v>
      </c>
      <c r="D48" s="6" t="s">
        <v>75</v>
      </c>
    </row>
    <row r="49" spans="1:4" x14ac:dyDescent="0.25">
      <c r="A49" s="5" t="s">
        <v>89</v>
      </c>
      <c r="B49" s="5">
        <v>2.54</v>
      </c>
      <c r="C49" s="5" t="s">
        <v>70</v>
      </c>
      <c r="D49" s="6" t="s">
        <v>75</v>
      </c>
    </row>
    <row r="50" spans="1:4" x14ac:dyDescent="0.25">
      <c r="A50" s="5" t="s">
        <v>90</v>
      </c>
      <c r="B50" s="5">
        <v>0.5</v>
      </c>
      <c r="C50" s="5" t="s">
        <v>14</v>
      </c>
      <c r="D50" s="6" t="s">
        <v>75</v>
      </c>
    </row>
    <row r="51" spans="1:4" x14ac:dyDescent="0.25">
      <c r="A51" s="5" t="s">
        <v>91</v>
      </c>
      <c r="B51" s="5">
        <v>1</v>
      </c>
      <c r="C51" s="5" t="s">
        <v>82</v>
      </c>
      <c r="D51" s="6" t="s">
        <v>92</v>
      </c>
    </row>
    <row r="52" spans="1:4" x14ac:dyDescent="0.25">
      <c r="A52" s="3"/>
      <c r="B52" s="3"/>
      <c r="C52" s="3"/>
      <c r="D52" s="4"/>
    </row>
    <row r="53" spans="1:4" ht="28.5" x14ac:dyDescent="0.25">
      <c r="A53" s="5" t="s">
        <v>93</v>
      </c>
      <c r="B53" s="5">
        <v>1</v>
      </c>
      <c r="C53" s="5" t="s">
        <v>41</v>
      </c>
      <c r="D53" s="6" t="s">
        <v>94</v>
      </c>
    </row>
    <row r="54" spans="1:4" ht="28.5" x14ac:dyDescent="0.25">
      <c r="A54" s="5" t="s">
        <v>95</v>
      </c>
      <c r="B54" s="5">
        <v>2.54</v>
      </c>
      <c r="C54" s="5" t="s">
        <v>70</v>
      </c>
      <c r="D54" s="6" t="s">
        <v>96</v>
      </c>
    </row>
    <row r="55" spans="1:4" ht="28.5" x14ac:dyDescent="0.25">
      <c r="A55" s="5" t="s">
        <v>97</v>
      </c>
      <c r="B55" s="5">
        <v>1</v>
      </c>
      <c r="C55" s="5" t="s">
        <v>41</v>
      </c>
      <c r="D55" s="6" t="s">
        <v>98</v>
      </c>
    </row>
    <row r="56" spans="1:4" x14ac:dyDescent="0.25">
      <c r="A56" s="3"/>
      <c r="B56" s="3"/>
      <c r="C56" s="3"/>
      <c r="D56" s="4"/>
    </row>
    <row r="57" spans="1:4" ht="28.5" x14ac:dyDescent="0.25">
      <c r="A57" s="5" t="s">
        <v>99</v>
      </c>
      <c r="B57" s="5">
        <v>1</v>
      </c>
      <c r="C57" s="5" t="s">
        <v>41</v>
      </c>
      <c r="D57" s="6" t="s">
        <v>100</v>
      </c>
    </row>
    <row r="58" spans="1:4" ht="28.5" x14ac:dyDescent="0.25">
      <c r="A58" s="5" t="s">
        <v>101</v>
      </c>
      <c r="B58" s="5">
        <v>1</v>
      </c>
      <c r="C58" s="5" t="s">
        <v>41</v>
      </c>
      <c r="D58" s="6" t="s">
        <v>102</v>
      </c>
    </row>
    <row r="59" spans="1:4" x14ac:dyDescent="0.25">
      <c r="A59" s="3"/>
      <c r="B59" s="3"/>
      <c r="C59" s="3"/>
      <c r="D59" s="4"/>
    </row>
    <row r="60" spans="1:4" x14ac:dyDescent="0.25">
      <c r="A60" s="5" t="s">
        <v>103</v>
      </c>
      <c r="B60" s="5">
        <v>61</v>
      </c>
      <c r="C60" s="5" t="s">
        <v>104</v>
      </c>
      <c r="D60" s="6" t="s">
        <v>105</v>
      </c>
    </row>
    <row r="61" spans="1:4" x14ac:dyDescent="0.25">
      <c r="A61" s="5" t="s">
        <v>106</v>
      </c>
      <c r="B61" s="5">
        <v>1E-4</v>
      </c>
      <c r="C61" s="5" t="s">
        <v>107</v>
      </c>
      <c r="D61" s="6" t="s">
        <v>108</v>
      </c>
    </row>
    <row r="62" spans="1:4" x14ac:dyDescent="0.25">
      <c r="A62" s="5" t="s">
        <v>109</v>
      </c>
      <c r="B62" s="5">
        <v>2</v>
      </c>
      <c r="C62" s="5" t="s">
        <v>107</v>
      </c>
      <c r="D62" s="6" t="s">
        <v>110</v>
      </c>
    </row>
    <row r="63" spans="1:4" x14ac:dyDescent="0.25">
      <c r="A63" s="5" t="s">
        <v>111</v>
      </c>
      <c r="B63" s="5">
        <v>40</v>
      </c>
      <c r="C63" s="5" t="s">
        <v>104</v>
      </c>
      <c r="D63" s="6" t="s">
        <v>112</v>
      </c>
    </row>
    <row r="64" spans="1:4" x14ac:dyDescent="0.25">
      <c r="A64" s="5" t="s">
        <v>113</v>
      </c>
      <c r="B64" s="5">
        <v>0.2</v>
      </c>
      <c r="C64" s="5" t="s">
        <v>14</v>
      </c>
      <c r="D64" s="6" t="s">
        <v>114</v>
      </c>
    </row>
    <row r="65" spans="4:4" x14ac:dyDescent="0.25">
      <c r="D65" s="1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workbookViewId="0"/>
  </sheetViews>
  <sheetFormatPr defaultRowHeight="15" x14ac:dyDescent="0.25"/>
  <cols>
    <col min="1" max="1" width="95" customWidth="1"/>
    <col min="2" max="3" width="14" customWidth="1"/>
    <col min="4" max="4" width="60" customWidth="1"/>
  </cols>
  <sheetData>
    <row r="1" spans="1:4" ht="16.5" x14ac:dyDescent="0.25">
      <c r="A1" s="12" t="s">
        <v>115</v>
      </c>
    </row>
    <row r="3" spans="1:4" x14ac:dyDescent="0.25">
      <c r="A3" s="5"/>
      <c r="B3" s="5"/>
    </row>
    <row r="4" spans="1:4" x14ac:dyDescent="0.25">
      <c r="A4" s="5" t="s">
        <v>116</v>
      </c>
      <c r="B4" s="5"/>
    </row>
    <row r="5" spans="1:4" x14ac:dyDescent="0.25">
      <c r="A5" s="5" t="s">
        <v>117</v>
      </c>
      <c r="B5" s="5"/>
    </row>
    <row r="6" spans="1:4" x14ac:dyDescent="0.25">
      <c r="A6" s="5" t="s">
        <v>118</v>
      </c>
      <c r="B6" s="5"/>
    </row>
    <row r="7" spans="1:4" x14ac:dyDescent="0.25">
      <c r="A7" s="5"/>
      <c r="B7" s="5"/>
    </row>
    <row r="8" spans="1:4" x14ac:dyDescent="0.25">
      <c r="A8" s="5" t="s">
        <v>119</v>
      </c>
      <c r="B8" s="5"/>
    </row>
    <row r="9" spans="1:4" x14ac:dyDescent="0.25">
      <c r="A9" s="5" t="s">
        <v>120</v>
      </c>
      <c r="B9" s="5"/>
    </row>
    <row r="10" spans="1:4" x14ac:dyDescent="0.25">
      <c r="A10" s="5" t="s">
        <v>121</v>
      </c>
      <c r="B10" s="5"/>
    </row>
    <row r="11" spans="1:4" x14ac:dyDescent="0.25">
      <c r="A11" s="5"/>
      <c r="B11" s="5"/>
    </row>
    <row r="12" spans="1:4" x14ac:dyDescent="0.25">
      <c r="A12" s="5" t="s">
        <v>122</v>
      </c>
      <c r="B12" s="5"/>
    </row>
    <row r="13" spans="1:4" x14ac:dyDescent="0.25">
      <c r="A13" s="13" t="s">
        <v>0</v>
      </c>
      <c r="B13" s="13" t="s">
        <v>1</v>
      </c>
      <c r="C13" s="13" t="s">
        <v>2</v>
      </c>
      <c r="D13" s="13" t="s">
        <v>3</v>
      </c>
    </row>
    <row r="14" spans="1:4" x14ac:dyDescent="0.25">
      <c r="A14" s="5" t="s">
        <v>52</v>
      </c>
      <c r="B14" s="5" t="s">
        <v>123</v>
      </c>
      <c r="C14" s="5" t="s">
        <v>14</v>
      </c>
      <c r="D14" s="5" t="s">
        <v>124</v>
      </c>
    </row>
    <row r="15" spans="1:4" x14ac:dyDescent="0.25">
      <c r="A15" s="5"/>
      <c r="B15" s="5"/>
    </row>
    <row r="16" spans="1:4" x14ac:dyDescent="0.25">
      <c r="A16" s="5" t="s">
        <v>125</v>
      </c>
      <c r="B16" s="5"/>
    </row>
    <row r="17" spans="1:2" x14ac:dyDescent="0.25">
      <c r="A17" s="5" t="s">
        <v>126</v>
      </c>
      <c r="B17" s="5"/>
    </row>
    <row r="18" spans="1:2" x14ac:dyDescent="0.25">
      <c r="A18" s="5" t="s">
        <v>127</v>
      </c>
      <c r="B18" s="5"/>
    </row>
    <row r="19" spans="1:2" x14ac:dyDescent="0.25">
      <c r="A19" s="5" t="s">
        <v>128</v>
      </c>
      <c r="B19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Oliver Owen (RIT Student)</cp:lastModifiedBy>
  <dcterms:created xsi:type="dcterms:W3CDTF">2026-09-19T05:15:02Z</dcterms:created>
  <dcterms:modified xsi:type="dcterms:W3CDTF">2026-09-19T13:36:35Z</dcterms:modified>
</cp:coreProperties>
</file>